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Первая таблица" sheetId="1" r:id="rId1"/>
    <sheet name="Вторая таблиц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2" l="1"/>
  <c r="H3" i="2"/>
  <c r="H4" i="2"/>
  <c r="H5" i="2"/>
  <c r="H2" i="2"/>
  <c r="F3" i="2"/>
  <c r="F4" i="2"/>
  <c r="F5" i="2"/>
  <c r="F2" i="2"/>
  <c r="E3" i="2"/>
  <c r="E4" i="2"/>
  <c r="E5" i="2"/>
  <c r="E2" i="2"/>
  <c r="B12" i="1"/>
  <c r="B11" i="1"/>
  <c r="B10" i="1"/>
  <c r="C9" i="1"/>
  <c r="D9" i="1"/>
  <c r="E9" i="1"/>
  <c r="F9" i="1"/>
  <c r="B9" i="1"/>
  <c r="J3" i="1"/>
  <c r="K3" i="1"/>
  <c r="E3" i="1"/>
  <c r="E4" i="1"/>
  <c r="E5" i="1"/>
  <c r="E6" i="1"/>
  <c r="F6" i="1" s="1"/>
  <c r="E7" i="1"/>
  <c r="F7" i="1" s="1"/>
  <c r="F3" i="1"/>
  <c r="F4" i="1"/>
  <c r="F5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<sst xmlns="http://schemas.openxmlformats.org/spreadsheetml/2006/main" count="34" uniqueCount="33">
  <si>
    <t>Расчет заработной платы сотрудников отдела</t>
  </si>
  <si>
    <t>ФИО сотрудников</t>
  </si>
  <si>
    <t>Оклад (руб.)</t>
  </si>
  <si>
    <t>Премия (%)</t>
  </si>
  <si>
    <t>Премия (руб.)</t>
  </si>
  <si>
    <t>НДФЛ (13%)</t>
  </si>
  <si>
    <t>К выдаче</t>
  </si>
  <si>
    <t>Иванов И.И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</si>
  <si>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</si>
  <si>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</si>
  <si>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</si>
  <si>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</si>
  <si>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</si>
  <si>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</si>
  <si>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Коэффициент</t>
  </si>
  <si>
    <t>Оклад (дублер)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</si>
  <si>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</si>
  <si>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</si>
  <si>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</si>
  <si>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</si>
  <si>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</si>
  <si>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</si>
  <si>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</si>
  <si>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</si>
  <si>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</si>
  <si>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</si>
  <si>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</si>
  <si>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</si>
  <si>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</si>
  <si>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</si>
  <si>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Ставка НДС</t>
  </si>
  <si>
    <t>НДС от стоймости</t>
  </si>
  <si>
    <t>ИТОГ: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</si>
</sst>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6" fontId="0" fillId="0" borderId="0" xfId="0" applyNumberFormat="1"/>
    <xf numFmtId="0" fontId="0" fillId="3" borderId="0" xfId="0" applyFill="1"/>
    <xf numFmtId="0" fontId="2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3" sqref="J3"/>
    </sheetView>
  </sheetViews>
  <sheetFormatPr defaultRowHeight="20" customHeight="1" x14ac:dyDescent="0.35"/>
  <cols>
    <col min="1" max="11" width="16.6328125" customWidth="1"/>
  </cols>
  <sheetData>
    <row r="1" spans="1:11" ht="2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12</v>
      </c>
      <c r="H2" t="s">
        <v>13</v>
      </c>
      <c r="I2" t="s">
        <v>14</v>
      </c>
      <c r="J2" t="s">
        <v>2</v>
      </c>
      <c r="K2" t="s">
        <v>15</v>
      </c>
    </row>
    <row r="3" spans="1:11" ht="20" customHeight="1" x14ac:dyDescent="0.35">
      <c r="A3" t="s">
        <v>7</v>
      </c>
      <c r="B3" s="2">
        <v>50000</v>
      </c>
      <c r="C3">
        <v>20</v>
      </c>
      <c r="D3" s="2">
        <f>B3*C3/100</f>
        <v>10000</v>
      </c>
      <c r="E3" s="2">
        <f>(B3+D3)*$H$3</f>
        <v>9000</v>
      </c>
      <c r="F3" s="2">
        <f>B3+D3-E3</f>
        <v>51000</v>
      </c>
      <c r="G3">
        <v>1</v>
      </c>
      <c r="H3" s="3">
        <v>0.15</v>
      </c>
      <c r="I3">
        <v>1.5</v>
      </c>
      <c r="J3" s="2">
        <f>B3*I$3</f>
        <v>75000</v>
      </c>
      <c r="K3" s="2">
        <f>B3*$I$3</f>
        <v>75000</v>
      </c>
    </row>
    <row r="4" spans="1:11" ht="20" customHeight="1" x14ac:dyDescent="0.35">
      <c r="A4" t="s">
        <v>8</v>
      </c>
      <c r="B4" s="2">
        <v>45000</v>
      </c>
      <c r="C4">
        <v>15</v>
      </c>
      <c r="D4" s="2">
        <f t="shared" ref="D4:D7" si="0">B4*C4/100</f>
        <v>6750</v>
      </c>
      <c r="E4" s="2">
        <f t="shared" ref="E4:E7" si="1">(B4+D4)*$H$3</f>
        <v>7762.5</v>
      </c>
      <c r="F4" s="2">
        <f t="shared" ref="F4:F7" si="2">B4+D4-E4</f>
        <v>43987.5</v>
      </c>
      <c r="G4">
        <v>2</v>
      </c>
    </row>
    <row r="5" spans="1:11" ht="20" customHeight="1" x14ac:dyDescent="0.35">
      <c r="A5" t="s">
        <v>9</v>
      </c>
      <c r="B5" s="2">
        <v>62000</v>
      </c>
      <c r="C5">
        <v>25</v>
      </c>
      <c r="D5" s="2">
        <f t="shared" si="0"/>
        <v>15500</v>
      </c>
      <c r="E5" s="2">
        <f t="shared" si="1"/>
        <v>11625</v>
      </c>
      <c r="F5" s="2">
        <f t="shared" si="2"/>
        <v>65875</v>
      </c>
      <c r="G5">
        <v>3</v>
      </c>
    </row>
    <row r="6" spans="1:11" ht="20" customHeight="1" x14ac:dyDescent="0.35">
      <c r="A6" t="s">
        <v>10</v>
      </c>
      <c r="B6" s="2">
        <v>55000</v>
      </c>
      <c r="C6">
        <v>10</v>
      </c>
      <c r="D6" s="2">
        <f t="shared" si="0"/>
        <v>5500</v>
      </c>
      <c r="E6" s="2">
        <f t="shared" si="1"/>
        <v>9075</v>
      </c>
      <c r="F6" s="2">
        <f t="shared" si="2"/>
        <v>51425</v>
      </c>
      <c r="G6">
        <v>4</v>
      </c>
    </row>
    <row r="7" spans="1:11" ht="20" customHeight="1" x14ac:dyDescent="0.35">
      <c r="A7" t="s">
        <v>11</v>
      </c>
      <c r="B7" s="2">
        <v>40000</v>
      </c>
      <c r="C7">
        <v>30</v>
      </c>
      <c r="D7" s="2">
        <f t="shared" si="0"/>
        <v>12000</v>
      </c>
      <c r="E7" s="2">
        <f t="shared" si="1"/>
        <v>7800</v>
      </c>
      <c r="F7" s="2">
        <f t="shared" si="2"/>
        <v>44200</v>
      </c>
      <c r="G7">
        <v>5</v>
      </c>
    </row>
    <row r="8" spans="1:11" ht="20" customHeight="1" x14ac:dyDescent="0.35">
      <c r="C8" s="2"/>
    </row>
    <row r="9" spans="1:11" ht="20" customHeight="1" x14ac:dyDescent="0.35">
      <c r="A9" s="4" t="s">
        <v>16</v>
      </c>
      <c r="B9" s="2">
        <f>SUM(B3:B7)</f>
        <v>252000</v>
      </c>
      <c r="C9" s="2">
        <f t="shared" ref="C9:F9" si="3">SUM(C3:C7)</f>
        <v>100</v>
      </c>
      <c r="D9" s="2">
        <f t="shared" si="3"/>
        <v>49750</v>
      </c>
      <c r="E9" s="2">
        <f t="shared" si="3"/>
        <v>45262.5</v>
      </c>
      <c r="F9" s="2">
        <f t="shared" si="3"/>
        <v>256487.5</v>
      </c>
    </row>
    <row r="10" spans="1:11" ht="20" customHeight="1" x14ac:dyDescent="0.35">
      <c r="A10" s="4" t="s">
        <v>17</v>
      </c>
      <c r="B10" s="2">
        <f>AVERAGE(F3:F7)</f>
        <v>51297.5</v>
      </c>
    </row>
    <row r="11" spans="1:11" ht="20" customHeight="1" x14ac:dyDescent="0.35">
      <c r="A11" s="4" t="s">
        <v>18</v>
      </c>
      <c r="B11" s="2">
        <f>MAX(F3:F7)</f>
        <v>65875</v>
      </c>
    </row>
    <row r="12" spans="1:11" ht="20" customHeight="1" x14ac:dyDescent="0.35">
      <c r="A12" s="4" t="s">
        <v>19</v>
      </c>
      <c r="B12" s="2">
        <f>MIN(F3:F7)</f>
        <v>43987.5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B15" sqref="B15"/>
    </sheetView>
  </sheetViews>
  <sheetFormatPr defaultRowHeight="16" customHeight="1" x14ac:dyDescent="0.35"/>
  <cols>
    <col min="1" max="8" width="16.6328125" customWidth="1"/>
  </cols>
  <sheetData>
    <row r="1" spans="1:8" ht="16" customHeight="1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30</v>
      </c>
      <c r="H1" s="4" t="s">
        <v>31</v>
      </c>
    </row>
    <row r="2" spans="1:8" ht="16" customHeight="1" x14ac:dyDescent="0.35">
      <c r="A2" t="s">
        <v>26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5">
        <v>0.2</v>
      </c>
      <c r="H2" s="2">
        <f>B2*G$2</f>
        <v>9000</v>
      </c>
    </row>
    <row r="3" spans="1:8" ht="16" customHeight="1" x14ac:dyDescent="0.35">
      <c r="A3" t="s">
        <v>27</v>
      </c>
      <c r="B3" s="2">
        <v>18000</v>
      </c>
      <c r="C3">
        <v>10</v>
      </c>
      <c r="D3">
        <v>3</v>
      </c>
      <c r="E3" s="2">
        <f t="shared" ref="E3:E5" si="0">B3*C3</f>
        <v>180000</v>
      </c>
      <c r="F3" s="2">
        <f t="shared" ref="F3:F5" si="1">E3*(1-D3/100)</f>
        <v>174600</v>
      </c>
      <c r="H3" s="2">
        <f t="shared" ref="H3:H5" si="2">B3*G$2</f>
        <v>3600</v>
      </c>
    </row>
    <row r="4" spans="1:8" ht="16" customHeight="1" x14ac:dyDescent="0.35">
      <c r="A4" t="s">
        <v>28</v>
      </c>
      <c r="B4" s="2">
        <v>1500</v>
      </c>
      <c r="C4">
        <v>25</v>
      </c>
      <c r="D4">
        <v>10</v>
      </c>
      <c r="E4" s="2">
        <f t="shared" si="0"/>
        <v>37500</v>
      </c>
      <c r="F4" s="2">
        <f t="shared" si="1"/>
        <v>33750</v>
      </c>
      <c r="H4" s="2">
        <f t="shared" si="2"/>
        <v>300</v>
      </c>
    </row>
    <row r="5" spans="1:8" ht="16" customHeight="1" x14ac:dyDescent="0.35">
      <c r="A5" t="s">
        <v>29</v>
      </c>
      <c r="B5" s="2">
        <v>800</v>
      </c>
      <c r="C5">
        <v>30</v>
      </c>
      <c r="D5">
        <v>7</v>
      </c>
      <c r="E5" s="2">
        <f t="shared" si="0"/>
        <v>24000</v>
      </c>
      <c r="F5" s="2">
        <f t="shared" si="1"/>
        <v>22320</v>
      </c>
      <c r="H5" s="2">
        <f t="shared" si="2"/>
        <v>160</v>
      </c>
    </row>
    <row r="7" spans="1:8" ht="16" customHeight="1" x14ac:dyDescent="0.35">
      <c r="A7" t="s">
        <v>32</v>
      </c>
      <c r="B7" s="2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Первая таблица</vt:lpstr>
      <vt:lpstr>Вторая 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2026-09-16T09:44:39Z</dcterms:modified>
</cp:coreProperties>
</file>