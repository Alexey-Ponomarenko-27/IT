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Статистика" sheetId="1" r:id="rId1"/>
    <sheet name="Задание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2" l="1"/>
  <c r="H1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H15" i="2"/>
  <c r="H14" i="2"/>
  <c r="H13" i="2"/>
  <c r="H12" i="2"/>
  <c r="H11" i="2"/>
  <c r="H8" i="2"/>
  <c r="H9" i="2"/>
  <c r="H10" i="2"/>
  <c r="H7" i="2"/>
  <c r="H6" i="2"/>
  <c r="H5" i="2"/>
  <c r="H4" i="2"/>
  <c r="H3" i="2"/>
  <c r="D25" i="2"/>
  <c r="D20" i="1"/>
  <c r="C20" i="1" l="1"/>
  <c r="F3" i="2"/>
  <c r="E4" i="2"/>
  <c r="E5" i="2"/>
  <c r="F6" i="2" s="1"/>
  <c r="E6" i="2"/>
  <c r="F7" i="2" s="1"/>
  <c r="E7" i="2"/>
  <c r="E8" i="2"/>
  <c r="E9" i="2"/>
  <c r="E10" i="2"/>
  <c r="E11" i="2"/>
  <c r="E12" i="2"/>
  <c r="E13" i="2"/>
  <c r="E14" i="2"/>
  <c r="E15" i="2"/>
  <c r="E16" i="2"/>
  <c r="E17" i="2"/>
  <c r="E3" i="2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F20" i="1"/>
  <c r="E20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3" i="1"/>
  <c r="D22" i="2" l="1"/>
  <c r="F13" i="2"/>
  <c r="I13" i="2"/>
  <c r="F5" i="2"/>
  <c r="F10" i="2"/>
  <c r="F16" i="2"/>
  <c r="F12" i="2"/>
  <c r="I12" i="2"/>
  <c r="F9" i="2"/>
  <c r="B25" i="2"/>
  <c r="I4" i="2"/>
  <c r="F11" i="2"/>
  <c r="F8" i="2"/>
  <c r="F15" i="2"/>
  <c r="I10" i="2"/>
  <c r="F14" i="2"/>
  <c r="H25" i="2"/>
  <c r="G25" i="2"/>
  <c r="C25" i="2"/>
  <c r="A25" i="2"/>
  <c r="F17" i="2"/>
  <c r="F4" i="2"/>
  <c r="M4" i="2" s="1"/>
  <c r="E25" i="2"/>
  <c r="F25" i="2"/>
  <c r="M3" i="2" l="1"/>
  <c r="I8" i="2"/>
  <c r="I16" i="2"/>
  <c r="I17" i="2"/>
  <c r="I14" i="2"/>
  <c r="I7" i="2"/>
  <c r="I15" i="2"/>
  <c r="I9" i="2"/>
  <c r="M2" i="2"/>
  <c r="I6" i="2"/>
  <c r="I3" i="2"/>
  <c r="I11" i="2"/>
  <c r="I5" i="2"/>
</calcChain>
</file>

<file path=xl/sharedStrings.xml><?xml version="1.0" encoding="utf-8"?>
<sst xmlns="http://schemas.openxmlformats.org/spreadsheetml/2006/main" count="67" uniqueCount="62">
  <si>
    <t>Успеваемость студентов группы по информатике</t>
  </si>
  <si>
    <t>№</t>
  </si>
  <si>
    <t>ФИО студентов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</si>
  <si>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</si>
  <si>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</si>
  <si>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</si>
  <si>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</si>
  <si>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</si>
  <si>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</si>
  <si>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</si>
  <si>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</si>
  <si>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</si>
  <si>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</si>
  <si>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</si>
  <si>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</si>
  <si>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</si>
  <si>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</si>
  <si>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</si>
  <si>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Федорова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</si>
  <si>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</si>
  <si>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</si>
  <si>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</si>
  <si>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</si>
  <si>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</si>
  <si>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</si>
  <si>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Медиана</t>
  </si>
  <si>
    <t>Мода</t>
  </si>
  <si>
    <t>Минимум</t>
  </si>
  <si>
    <t>Максимум</t>
  </si>
  <si>
    <t xml:space="preserve">№ </t>
  </si>
  <si>
    <t xml:space="preserve">Товар </t>
  </si>
  <si>
    <t xml:space="preserve">Цена (руб.) </t>
  </si>
  <si>
    <t xml:space="preserve">Продано (шт.) </t>
  </si>
  <si>
    <t xml:space="preserve">Выручка </t>
  </si>
  <si>
    <t xml:space="preserve">Категория </t>
  </si>
  <si>
    <t xml:space="preserve">Ноутбук </t>
  </si>
  <si>
    <t xml:space="preserve">Монитор </t>
  </si>
  <si>
    <t xml:space="preserve">Клавиатура </t>
  </si>
  <si>
    <t xml:space="preserve">Мышь </t>
  </si>
  <si>
    <t xml:space="preserve">Принтер </t>
  </si>
  <si>
    <t xml:space="preserve">Сканер </t>
  </si>
  <si>
    <t xml:space="preserve">Флешка 32ГБ </t>
  </si>
  <si>
    <t xml:space="preserve">Внешний HDD </t>
  </si>
  <si>
    <t xml:space="preserve">Веб-камера </t>
  </si>
  <si>
    <t xml:space="preserve">Наушники </t>
  </si>
  <si>
    <t xml:space="preserve">Коврик для мыши </t>
  </si>
  <si>
    <t xml:space="preserve">USB-хаб </t>
  </si>
  <si>
    <t xml:space="preserve">Картридж </t>
  </si>
  <si>
    <t xml:space="preserve">Бумага А4 </t>
  </si>
  <si>
    <t xml:space="preserve">Роутер </t>
  </si>
  <si>
    <t>Сумма</t>
  </si>
  <si>
    <t>Среднее</t>
  </si>
  <si>
    <t>Стандартное отклонение</t>
  </si>
  <si>
    <t>Дисперсия</t>
  </si>
  <si>
    <t>Показатель</t>
  </si>
  <si>
    <t>Значение</t>
  </si>
  <si>
    <t>Количество товаров категории "Топ"</t>
  </si>
  <si>
    <t>Сумма выручки категории "Топ"</t>
  </si>
  <si>
    <t>Средняя выручка товаров категории "Средний"</t>
  </si>
  <si>
    <t>Доля каждого товара в общей выручке (в %)</t>
  </si>
  <si>
    <t>Корреляция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</si>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</sst>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/>
    <xf numFmtId="1" fontId="0" fillId="0" borderId="1" xfId="0" applyNumberFormat="1" applyBorder="1"/>
    <xf numFmtId="1" fontId="0" fillId="0" borderId="1" xfId="0" applyNumberFormat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0" xfId="0" applyBorder="1"/>
    <xf numFmtId="17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topLeftCell="B1" workbookViewId="0">
      <selection activeCell="I3" sqref="I3"/>
    </sheetView>
  </sheetViews>
  <sheetFormatPr defaultRowHeight="15" x14ac:dyDescent="0.25"/>
  <cols>
    <col min="1" max="9" width="15.5703125" customWidth="1"/>
  </cols>
  <sheetData>
    <row r="1" spans="1:9" x14ac:dyDescent="0.25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s="5">
        <v>1</v>
      </c>
      <c r="B3" s="2" t="s">
        <v>10</v>
      </c>
      <c r="C3" s="4">
        <v>85</v>
      </c>
      <c r="D3" s="4">
        <v>78</v>
      </c>
      <c r="E3" s="4">
        <v>92</v>
      </c>
      <c r="F3" s="4">
        <f>SUM(C3:E3)</f>
        <v>255</v>
      </c>
      <c r="G3" s="4">
        <f>AVERAGE(C3:E3)</f>
        <v>85</v>
      </c>
      <c r="H3" s="3" t="str">
        <f>IF(G2&gt;=90,"5",IF(G3&gt;=75,"4",IF(G3&gt;=60,"3","2")))</f>
        <v>5</v>
      </c>
      <c r="I3" s="4">
        <f>RANK(F3,$F$3:$F$17,0)</f>
        <v>6</v>
      </c>
    </row>
    <row r="4" spans="1:9" x14ac:dyDescent="0.25">
      <c r="A4" s="5">
        <v>2</v>
      </c>
      <c r="B4" s="2" t="s">
        <v>11</v>
      </c>
      <c r="C4" s="4">
        <v>72</v>
      </c>
      <c r="D4" s="4">
        <v>65</v>
      </c>
      <c r="E4" s="4">
        <v>80</v>
      </c>
      <c r="F4" s="4">
        <f t="shared" ref="F4:F17" si="0">SUM(C4:E4)</f>
        <v>217</v>
      </c>
      <c r="G4" s="4">
        <f t="shared" ref="G4:G17" si="1">AVERAGE(C4:E4)</f>
        <v>72.333333333333329</v>
      </c>
      <c r="H4" s="3" t="str">
        <f t="shared" ref="H4:H17" si="2">IF(G3&gt;=90,"5",IF(G4&gt;=75,"4",IF(G4&gt;=60,"3","2")))</f>
        <v>3</v>
      </c>
      <c r="I4" s="4">
        <f t="shared" ref="I4:I17" si="3">RANK(F4,$F$3:$F$17,0)</f>
        <v>10</v>
      </c>
    </row>
    <row r="5" spans="1:9" x14ac:dyDescent="0.25">
      <c r="A5" s="5">
        <v>3</v>
      </c>
      <c r="B5" s="2" t="s">
        <v>12</v>
      </c>
      <c r="C5" s="4">
        <v>95</v>
      </c>
      <c r="D5" s="4">
        <v>88</v>
      </c>
      <c r="E5" s="4">
        <v>98</v>
      </c>
      <c r="F5" s="4">
        <f t="shared" si="0"/>
        <v>281</v>
      </c>
      <c r="G5" s="4">
        <f t="shared" si="1"/>
        <v>93.666666666666671</v>
      </c>
      <c r="H5" s="3" t="str">
        <f t="shared" si="2"/>
        <v>4</v>
      </c>
      <c r="I5" s="4">
        <f t="shared" si="3"/>
        <v>2</v>
      </c>
    </row>
    <row r="6" spans="1:9" x14ac:dyDescent="0.25">
      <c r="A6" s="5">
        <v>4</v>
      </c>
      <c r="B6" s="2" t="s">
        <v>13</v>
      </c>
      <c r="C6" s="4">
        <v>65</v>
      </c>
      <c r="D6" s="4">
        <v>55</v>
      </c>
      <c r="E6" s="4">
        <v>70</v>
      </c>
      <c r="F6" s="4">
        <f t="shared" si="0"/>
        <v>190</v>
      </c>
      <c r="G6" s="4">
        <f t="shared" si="1"/>
        <v>63.333333333333336</v>
      </c>
      <c r="H6" s="3" t="str">
        <f t="shared" si="2"/>
        <v>5</v>
      </c>
      <c r="I6" s="4">
        <f t="shared" si="3"/>
        <v>13</v>
      </c>
    </row>
    <row r="7" spans="1:9" x14ac:dyDescent="0.25">
      <c r="A7" s="5">
        <v>5</v>
      </c>
      <c r="B7" s="2" t="s">
        <v>14</v>
      </c>
      <c r="C7" s="4">
        <v>78</v>
      </c>
      <c r="D7" s="4">
        <v>82</v>
      </c>
      <c r="E7" s="4">
        <v>85</v>
      </c>
      <c r="F7" s="4">
        <f t="shared" si="0"/>
        <v>245</v>
      </c>
      <c r="G7" s="4">
        <f t="shared" si="1"/>
        <v>81.666666666666671</v>
      </c>
      <c r="H7" s="3" t="str">
        <f t="shared" si="2"/>
        <v>4</v>
      </c>
      <c r="I7" s="4">
        <f t="shared" si="3"/>
        <v>7</v>
      </c>
    </row>
    <row r="8" spans="1:9" x14ac:dyDescent="0.25">
      <c r="A8" s="5">
        <v>6</v>
      </c>
      <c r="B8" s="2" t="s">
        <v>15</v>
      </c>
      <c r="C8" s="4">
        <v>88</v>
      </c>
      <c r="D8" s="4">
        <v>90</v>
      </c>
      <c r="E8" s="4">
        <v>95</v>
      </c>
      <c r="F8" s="4">
        <f t="shared" si="0"/>
        <v>273</v>
      </c>
      <c r="G8" s="4">
        <f t="shared" si="1"/>
        <v>91</v>
      </c>
      <c r="H8" s="3" t="str">
        <f t="shared" si="2"/>
        <v>4</v>
      </c>
      <c r="I8" s="4">
        <f t="shared" si="3"/>
        <v>4</v>
      </c>
    </row>
    <row r="9" spans="1:9" x14ac:dyDescent="0.25">
      <c r="A9" s="5">
        <v>7</v>
      </c>
      <c r="B9" s="2" t="s">
        <v>16</v>
      </c>
      <c r="C9" s="4">
        <v>65</v>
      </c>
      <c r="D9" s="4">
        <v>70</v>
      </c>
      <c r="E9" s="4">
        <v>68</v>
      </c>
      <c r="F9" s="4">
        <f t="shared" si="0"/>
        <v>203</v>
      </c>
      <c r="G9" s="4">
        <f t="shared" si="1"/>
        <v>67.666666666666671</v>
      </c>
      <c r="H9" s="3" t="str">
        <f t="shared" si="2"/>
        <v>5</v>
      </c>
      <c r="I9" s="4">
        <f t="shared" si="3"/>
        <v>12</v>
      </c>
    </row>
    <row r="10" spans="1:9" x14ac:dyDescent="0.25">
      <c r="A10" s="5">
        <v>8</v>
      </c>
      <c r="B10" s="2" t="s">
        <v>17</v>
      </c>
      <c r="C10" s="4">
        <v>92</v>
      </c>
      <c r="D10" s="4">
        <v>85</v>
      </c>
      <c r="E10" s="4">
        <v>88</v>
      </c>
      <c r="F10" s="4">
        <f t="shared" si="0"/>
        <v>265</v>
      </c>
      <c r="G10" s="4">
        <f t="shared" si="1"/>
        <v>88.333333333333329</v>
      </c>
      <c r="H10" s="3" t="str">
        <f t="shared" si="2"/>
        <v>4</v>
      </c>
      <c r="I10" s="4">
        <f t="shared" si="3"/>
        <v>5</v>
      </c>
    </row>
    <row r="11" spans="1:9" x14ac:dyDescent="0.25">
      <c r="A11" s="6">
        <v>9</v>
      </c>
      <c r="B11" s="2" t="s">
        <v>18</v>
      </c>
      <c r="C11" s="4">
        <v>55</v>
      </c>
      <c r="D11" s="4">
        <v>60</v>
      </c>
      <c r="E11" s="4">
        <v>58</v>
      </c>
      <c r="F11" s="4">
        <f t="shared" si="0"/>
        <v>173</v>
      </c>
      <c r="G11" s="4">
        <f t="shared" si="1"/>
        <v>57.666666666666664</v>
      </c>
      <c r="H11" s="3" t="str">
        <f t="shared" si="2"/>
        <v>2</v>
      </c>
      <c r="I11" s="4">
        <f t="shared" si="3"/>
        <v>15</v>
      </c>
    </row>
    <row r="12" spans="1:9" x14ac:dyDescent="0.25">
      <c r="A12" s="6">
        <v>10</v>
      </c>
      <c r="B12" s="2" t="s">
        <v>19</v>
      </c>
      <c r="C12" s="4">
        <v>80</v>
      </c>
      <c r="D12" s="4">
        <v>75</v>
      </c>
      <c r="E12" s="4">
        <v>82</v>
      </c>
      <c r="F12" s="4">
        <f t="shared" si="0"/>
        <v>237</v>
      </c>
      <c r="G12" s="4">
        <f t="shared" si="1"/>
        <v>79</v>
      </c>
      <c r="H12" s="3" t="str">
        <f t="shared" si="2"/>
        <v>4</v>
      </c>
      <c r="I12" s="4">
        <f t="shared" si="3"/>
        <v>8</v>
      </c>
    </row>
    <row r="13" spans="1:9" x14ac:dyDescent="0.25">
      <c r="A13" s="6">
        <v>11</v>
      </c>
      <c r="B13" s="2" t="s">
        <v>20</v>
      </c>
      <c r="C13" s="4">
        <v>70</v>
      </c>
      <c r="D13" s="4">
        <v>68</v>
      </c>
      <c r="E13" s="4">
        <v>72</v>
      </c>
      <c r="F13" s="4">
        <f t="shared" si="0"/>
        <v>210</v>
      </c>
      <c r="G13" s="4">
        <f t="shared" si="1"/>
        <v>70</v>
      </c>
      <c r="H13" s="3" t="str">
        <f t="shared" si="2"/>
        <v>3</v>
      </c>
      <c r="I13" s="4">
        <f t="shared" si="3"/>
        <v>11</v>
      </c>
    </row>
    <row r="14" spans="1:9" x14ac:dyDescent="0.25">
      <c r="A14" s="6">
        <v>12</v>
      </c>
      <c r="B14" s="2" t="s">
        <v>21</v>
      </c>
      <c r="C14" s="4">
        <v>90</v>
      </c>
      <c r="D14" s="4">
        <v>92</v>
      </c>
      <c r="E14" s="4">
        <v>94</v>
      </c>
      <c r="F14" s="4">
        <f t="shared" si="0"/>
        <v>276</v>
      </c>
      <c r="G14" s="4">
        <f t="shared" si="1"/>
        <v>92</v>
      </c>
      <c r="H14" s="3" t="str">
        <f t="shared" si="2"/>
        <v>4</v>
      </c>
      <c r="I14" s="4">
        <f t="shared" si="3"/>
        <v>3</v>
      </c>
    </row>
    <row r="15" spans="1:9" x14ac:dyDescent="0.25">
      <c r="A15" s="6">
        <v>13</v>
      </c>
      <c r="B15" s="2" t="s">
        <v>22</v>
      </c>
      <c r="C15" s="4">
        <v>75</v>
      </c>
      <c r="D15" s="4">
        <v>78</v>
      </c>
      <c r="E15" s="4">
        <v>80</v>
      </c>
      <c r="F15" s="4">
        <f t="shared" si="0"/>
        <v>233</v>
      </c>
      <c r="G15" s="4">
        <f t="shared" si="1"/>
        <v>77.666666666666671</v>
      </c>
      <c r="H15" s="3" t="str">
        <f t="shared" si="2"/>
        <v>5</v>
      </c>
      <c r="I15" s="4">
        <f t="shared" si="3"/>
        <v>9</v>
      </c>
    </row>
    <row r="16" spans="1:9" x14ac:dyDescent="0.25">
      <c r="A16" s="6">
        <v>14</v>
      </c>
      <c r="B16" s="2" t="s">
        <v>23</v>
      </c>
      <c r="C16" s="4">
        <v>62</v>
      </c>
      <c r="D16" s="4">
        <v>58</v>
      </c>
      <c r="E16" s="4">
        <v>65</v>
      </c>
      <c r="F16" s="4">
        <f t="shared" si="0"/>
        <v>185</v>
      </c>
      <c r="G16" s="4">
        <f t="shared" si="1"/>
        <v>61.666666666666664</v>
      </c>
      <c r="H16" s="3" t="str">
        <f t="shared" si="2"/>
        <v>3</v>
      </c>
      <c r="I16" s="4">
        <f t="shared" si="3"/>
        <v>14</v>
      </c>
    </row>
    <row r="17" spans="1:9" x14ac:dyDescent="0.25">
      <c r="A17" s="6">
        <v>15</v>
      </c>
      <c r="B17" s="2" t="s">
        <v>24</v>
      </c>
      <c r="C17" s="4">
        <v>98</v>
      </c>
      <c r="D17" s="4">
        <v>95</v>
      </c>
      <c r="E17" s="4">
        <v>100</v>
      </c>
      <c r="F17" s="4">
        <f t="shared" si="0"/>
        <v>293</v>
      </c>
      <c r="G17" s="4">
        <f t="shared" si="1"/>
        <v>97.666666666666671</v>
      </c>
      <c r="H17" s="3" t="str">
        <f t="shared" si="2"/>
        <v>4</v>
      </c>
      <c r="I17" s="4">
        <f t="shared" si="3"/>
        <v>1</v>
      </c>
    </row>
    <row r="19" spans="1:9" x14ac:dyDescent="0.25">
      <c r="C19" s="1" t="s">
        <v>25</v>
      </c>
      <c r="D19" s="1" t="s">
        <v>26</v>
      </c>
      <c r="E19" s="1" t="s">
        <v>27</v>
      </c>
      <c r="F19" s="1" t="s">
        <v>28</v>
      </c>
    </row>
    <row r="20" spans="1:9" x14ac:dyDescent="0.25">
      <c r="C20" s="4">
        <f>MEDIAN(F3:F17)</f>
        <v>237</v>
      </c>
      <c r="D20" s="1" t="e">
        <f>MODE(F3:F17)</f>
        <v>#N/A</v>
      </c>
      <c r="E20" s="4">
        <f>MIN(F3:F17)</f>
        <v>173</v>
      </c>
      <c r="F20" s="4">
        <f>MAX(F3:F17)</f>
        <v>293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zoomScaleNormal="100" workbookViewId="0">
      <selection activeCell="G3" sqref="G3"/>
    </sheetView>
  </sheetViews>
  <sheetFormatPr defaultRowHeight="15" x14ac:dyDescent="0.25"/>
  <cols>
    <col min="1" max="6" width="15.5703125" customWidth="1"/>
    <col min="7" max="7" width="25.7109375" customWidth="1"/>
    <col min="8" max="8" width="15.7109375" customWidth="1"/>
    <col min="9" max="10" width="42.7109375" customWidth="1"/>
    <col min="11" max="11" width="45.7109375" customWidth="1"/>
    <col min="12" max="13" width="40.7109375" customWidth="1"/>
  </cols>
  <sheetData>
    <row r="1" spans="1:13" x14ac:dyDescent="0.25">
      <c r="L1" s="1" t="s">
        <v>54</v>
      </c>
      <c r="M1" s="1" t="s">
        <v>55</v>
      </c>
    </row>
    <row r="2" spans="1:13" x14ac:dyDescent="0.2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9</v>
      </c>
      <c r="H2" s="1" t="s">
        <v>60</v>
      </c>
      <c r="I2" s="8" t="s">
        <v>59</v>
      </c>
      <c r="L2" s="1" t="s">
        <v>56</v>
      </c>
      <c r="M2" s="1">
        <f>COUNTIF(F3:F17,"Топ")</f>
        <v>3</v>
      </c>
    </row>
    <row r="3" spans="1:13" x14ac:dyDescent="0.25">
      <c r="A3" s="4">
        <v>1</v>
      </c>
      <c r="B3" s="1" t="s">
        <v>35</v>
      </c>
      <c r="C3" s="4">
        <v>45000</v>
      </c>
      <c r="D3" s="4">
        <v>12</v>
      </c>
      <c r="E3" s="4">
        <f>C3*D3</f>
        <v>540000</v>
      </c>
      <c r="F3" s="1" t="str">
        <f>IF(E2&gt;100000,"Топ",IF(E2&gt;50000,"Средний","Низкий"))</f>
        <v>Топ</v>
      </c>
      <c r="G3" s="1">
        <f>RANK(E3,$E$3:$E$17,0)</f>
        <v>1</v>
      </c>
      <c r="H3" s="1">
        <f>CORREL(C3:C17,D3:D17)</f>
        <v>-0.39694833806521035</v>
      </c>
      <c r="I3" s="10">
        <f>E3/$D$22*100</f>
        <v>28.600180075207881</v>
      </c>
      <c r="L3" s="1" t="s">
        <v>57</v>
      </c>
      <c r="M3" s="1">
        <f>SUMIF(F3:F17,"Топ",E3:E17)</f>
        <v>1102000</v>
      </c>
    </row>
    <row r="4" spans="1:13" x14ac:dyDescent="0.25">
      <c r="A4" s="4">
        <v>2</v>
      </c>
      <c r="B4" s="1" t="s">
        <v>36</v>
      </c>
      <c r="C4" s="4">
        <v>18000</v>
      </c>
      <c r="D4" s="4">
        <v>25</v>
      </c>
      <c r="E4" s="4">
        <f t="shared" ref="E4:E17" si="0">C4*D4</f>
        <v>450000</v>
      </c>
      <c r="F4" s="1" t="str">
        <f t="shared" ref="F4:F17" si="1">IF(E3&gt;100000,"Топ",IF(E3&gt;50000,"Средний","Низкий"))</f>
        <v>Топ</v>
      </c>
      <c r="G4" s="1">
        <f t="shared" ref="G4:G17" si="2">RANK(E4,$E$4:$E$17,0)</f>
        <v>1</v>
      </c>
      <c r="H4" s="1">
        <f>CORREL(C4:C18,D4:D18)</f>
        <v>-0.52253959948216</v>
      </c>
      <c r="I4" s="10">
        <f t="shared" ref="I4:I17" si="3">E4/$D$22*100</f>
        <v>23.833483396006567</v>
      </c>
      <c r="L4" s="1" t="s">
        <v>58</v>
      </c>
      <c r="M4" s="3">
        <f>AVERAGEIF(F3:F17,"Средний",E3:E17)</f>
        <v>73011.111111111109</v>
      </c>
    </row>
    <row r="5" spans="1:13" x14ac:dyDescent="0.25">
      <c r="A5" s="4">
        <v>3</v>
      </c>
      <c r="B5" s="1" t="s">
        <v>37</v>
      </c>
      <c r="C5" s="4">
        <v>1500</v>
      </c>
      <c r="D5" s="4">
        <v>60</v>
      </c>
      <c r="E5" s="4">
        <f t="shared" si="0"/>
        <v>90000</v>
      </c>
      <c r="F5" s="1" t="str">
        <f>IF(E5&gt;100000,"Топ",IF(E4&gt;50000,"Средний","Низкий"))</f>
        <v>Средний</v>
      </c>
      <c r="G5" s="1">
        <f t="shared" si="2"/>
        <v>4</v>
      </c>
      <c r="H5" s="1">
        <f>CORREL(C5:C19,D5:D19)</f>
        <v>-0.63218739627065768</v>
      </c>
      <c r="I5" s="10">
        <f t="shared" si="3"/>
        <v>4.7666966792013135</v>
      </c>
    </row>
    <row r="6" spans="1:13" x14ac:dyDescent="0.25">
      <c r="A6" s="4">
        <v>4</v>
      </c>
      <c r="B6" s="1" t="s">
        <v>38</v>
      </c>
      <c r="C6" s="4">
        <v>800</v>
      </c>
      <c r="D6" s="4">
        <v>85</v>
      </c>
      <c r="E6" s="4">
        <f t="shared" si="0"/>
        <v>68000</v>
      </c>
      <c r="F6" s="1" t="str">
        <f t="shared" si="1"/>
        <v>Средний</v>
      </c>
      <c r="G6" s="1">
        <f t="shared" si="2"/>
        <v>8</v>
      </c>
      <c r="H6" s="1">
        <f>CORREL(C6:C20,D6:D20)</f>
        <v>-0.63628324700958439</v>
      </c>
      <c r="I6" s="10">
        <f t="shared" si="3"/>
        <v>3.6015041576187699</v>
      </c>
    </row>
    <row r="7" spans="1:13" x14ac:dyDescent="0.25">
      <c r="A7" s="4">
        <v>5</v>
      </c>
      <c r="B7" s="1" t="s">
        <v>39</v>
      </c>
      <c r="C7" s="4">
        <v>12000</v>
      </c>
      <c r="D7" s="4">
        <v>8</v>
      </c>
      <c r="E7" s="4">
        <f t="shared" si="0"/>
        <v>96000</v>
      </c>
      <c r="F7" s="1" t="str">
        <f t="shared" si="1"/>
        <v>Средний</v>
      </c>
      <c r="G7" s="1">
        <f t="shared" si="2"/>
        <v>3</v>
      </c>
      <c r="H7" s="1">
        <f>CORREL(C7:C21,D7:D21)</f>
        <v>-0.62350438102248795</v>
      </c>
      <c r="I7" s="10">
        <f t="shared" si="3"/>
        <v>5.0844764578147341</v>
      </c>
    </row>
    <row r="8" spans="1:13" x14ac:dyDescent="0.25">
      <c r="A8" s="4">
        <v>6</v>
      </c>
      <c r="B8" s="1" t="s">
        <v>40</v>
      </c>
      <c r="C8" s="4">
        <v>9000</v>
      </c>
      <c r="D8" s="4">
        <v>6</v>
      </c>
      <c r="E8" s="4">
        <f t="shared" si="0"/>
        <v>54000</v>
      </c>
      <c r="F8" s="1" t="str">
        <f t="shared" si="1"/>
        <v>Средний</v>
      </c>
      <c r="G8" s="1">
        <f t="shared" si="2"/>
        <v>11</v>
      </c>
      <c r="H8" s="1">
        <f t="shared" ref="H8:H17" si="4">CORREL(C8:C22,D8:D22)</f>
        <v>-0.67300937770033087</v>
      </c>
      <c r="I8" s="10">
        <f t="shared" si="3"/>
        <v>2.8600180075207882</v>
      </c>
    </row>
    <row r="9" spans="1:13" x14ac:dyDescent="0.25">
      <c r="A9" s="4">
        <v>7</v>
      </c>
      <c r="B9" s="1" t="s">
        <v>41</v>
      </c>
      <c r="C9" s="4">
        <v>600</v>
      </c>
      <c r="D9" s="4">
        <v>120</v>
      </c>
      <c r="E9" s="4">
        <f t="shared" si="0"/>
        <v>72000</v>
      </c>
      <c r="F9" s="1" t="str">
        <f t="shared" si="1"/>
        <v>Средний</v>
      </c>
      <c r="G9" s="1">
        <f t="shared" si="2"/>
        <v>6</v>
      </c>
      <c r="H9" s="1">
        <f t="shared" si="4"/>
        <v>-0.74454230577361336</v>
      </c>
      <c r="I9" s="10">
        <f t="shared" si="3"/>
        <v>3.8133573433610506</v>
      </c>
    </row>
    <row r="10" spans="1:13" x14ac:dyDescent="0.25">
      <c r="A10" s="4">
        <v>8</v>
      </c>
      <c r="B10" s="1" t="s">
        <v>42</v>
      </c>
      <c r="C10" s="4">
        <v>5500</v>
      </c>
      <c r="D10" s="4">
        <v>15</v>
      </c>
      <c r="E10" s="4">
        <f t="shared" si="0"/>
        <v>82500</v>
      </c>
      <c r="F10" s="1" t="str">
        <f t="shared" si="1"/>
        <v>Средний</v>
      </c>
      <c r="G10" s="1">
        <f t="shared" si="2"/>
        <v>5</v>
      </c>
      <c r="H10" s="1">
        <f t="shared" si="4"/>
        <v>-0.70951689226305592</v>
      </c>
      <c r="I10" s="10">
        <f t="shared" si="3"/>
        <v>4.3694719559345376</v>
      </c>
    </row>
    <row r="11" spans="1:13" x14ac:dyDescent="0.25">
      <c r="A11" s="4">
        <v>9</v>
      </c>
      <c r="B11" s="1" t="s">
        <v>43</v>
      </c>
      <c r="C11" s="4">
        <v>2800</v>
      </c>
      <c r="D11" s="4">
        <v>22</v>
      </c>
      <c r="E11" s="4">
        <f t="shared" si="0"/>
        <v>61600</v>
      </c>
      <c r="F11" s="1" t="str">
        <f>IF(E11&gt;100000,"Топ",IF(E10&gt;50000,"Средний","Низкий"))</f>
        <v>Средний</v>
      </c>
      <c r="G11" s="1">
        <f t="shared" si="2"/>
        <v>10</v>
      </c>
      <c r="H11" s="1">
        <f>CORREL(C11:C17,D11:D17)</f>
        <v>-0.73929441679591534</v>
      </c>
      <c r="I11" s="10">
        <f t="shared" si="3"/>
        <v>3.2625390604311209</v>
      </c>
    </row>
    <row r="12" spans="1:13" x14ac:dyDescent="0.25">
      <c r="A12" s="4">
        <v>10</v>
      </c>
      <c r="B12" s="1" t="s">
        <v>44</v>
      </c>
      <c r="C12" s="4">
        <v>3200</v>
      </c>
      <c r="D12" s="4">
        <v>35</v>
      </c>
      <c r="E12" s="4">
        <f t="shared" si="0"/>
        <v>112000</v>
      </c>
      <c r="F12" s="1" t="str">
        <f>IF(E12&gt;100000,"Топ",IF(E12&gt;50000,"Средний","Низкий"))</f>
        <v>Топ</v>
      </c>
      <c r="G12" s="1">
        <f t="shared" si="2"/>
        <v>2</v>
      </c>
      <c r="H12" s="1">
        <f>CORREL(C12:C17,D12:D17)</f>
        <v>-0.72783027592363148</v>
      </c>
      <c r="I12" s="10">
        <f t="shared" si="3"/>
        <v>5.9318892007838571</v>
      </c>
    </row>
    <row r="13" spans="1:13" x14ac:dyDescent="0.25">
      <c r="A13" s="4">
        <v>11</v>
      </c>
      <c r="B13" s="1" t="s">
        <v>45</v>
      </c>
      <c r="C13" s="4">
        <v>400</v>
      </c>
      <c r="D13" s="4">
        <v>90</v>
      </c>
      <c r="E13" s="4">
        <f t="shared" si="0"/>
        <v>36000</v>
      </c>
      <c r="F13" s="1" t="str">
        <f>IF(E13&gt;100000,"Топ",IF(E13&gt;50000,"Средний","Низкий"))</f>
        <v>Низкий</v>
      </c>
      <c r="G13" s="1">
        <f t="shared" si="2"/>
        <v>14</v>
      </c>
      <c r="H13" s="1">
        <f>CORREL(C13:C17,D13:D17)</f>
        <v>-0.71308673693623481</v>
      </c>
      <c r="I13" s="10">
        <f t="shared" si="3"/>
        <v>1.9066786716805253</v>
      </c>
    </row>
    <row r="14" spans="1:13" x14ac:dyDescent="0.25">
      <c r="A14" s="4">
        <v>12</v>
      </c>
      <c r="B14" s="1" t="s">
        <v>46</v>
      </c>
      <c r="C14" s="4">
        <v>1200</v>
      </c>
      <c r="D14" s="4">
        <v>40</v>
      </c>
      <c r="E14" s="4">
        <f t="shared" si="0"/>
        <v>48000</v>
      </c>
      <c r="F14" s="1" t="str">
        <f t="shared" si="1"/>
        <v>Низкий</v>
      </c>
      <c r="G14" s="1">
        <f t="shared" si="2"/>
        <v>12</v>
      </c>
      <c r="H14" s="1">
        <f>CORREL(C14:C17,D14:D17)</f>
        <v>-0.73912635089336676</v>
      </c>
      <c r="I14" s="10">
        <f t="shared" si="3"/>
        <v>2.5422382289073671</v>
      </c>
    </row>
    <row r="15" spans="1:13" x14ac:dyDescent="0.25">
      <c r="A15" s="4">
        <v>13</v>
      </c>
      <c r="B15" s="1" t="s">
        <v>47</v>
      </c>
      <c r="C15" s="4">
        <v>2500</v>
      </c>
      <c r="D15" s="4">
        <v>18</v>
      </c>
      <c r="E15" s="4">
        <f t="shared" si="0"/>
        <v>45000</v>
      </c>
      <c r="F15" s="1" t="str">
        <f t="shared" si="1"/>
        <v>Низкий</v>
      </c>
      <c r="G15" s="1">
        <f t="shared" si="2"/>
        <v>13</v>
      </c>
      <c r="H15" s="1">
        <f>CORREL(C15:C17,D15:D17)</f>
        <v>-0.88518291317341924</v>
      </c>
      <c r="I15" s="10">
        <f t="shared" si="3"/>
        <v>2.3833483396006567</v>
      </c>
    </row>
    <row r="16" spans="1:13" x14ac:dyDescent="0.25">
      <c r="A16" s="4">
        <v>14</v>
      </c>
      <c r="B16" s="1" t="s">
        <v>48</v>
      </c>
      <c r="C16" s="4">
        <v>350</v>
      </c>
      <c r="D16" s="4">
        <v>200</v>
      </c>
      <c r="E16" s="4">
        <f t="shared" si="0"/>
        <v>70000</v>
      </c>
      <c r="F16" s="1" t="str">
        <f>IF(E16&gt;100000,"Топ",IF(E16&gt;50000,"Средний","Низкий"))</f>
        <v>Средний</v>
      </c>
      <c r="G16" s="1">
        <f t="shared" si="2"/>
        <v>7</v>
      </c>
      <c r="H16" s="1">
        <f>CORREL(C16:C17,D16:D17)</f>
        <v>-1</v>
      </c>
      <c r="I16" s="10">
        <f t="shared" si="3"/>
        <v>3.7074307504899102</v>
      </c>
    </row>
    <row r="17" spans="1:10" x14ac:dyDescent="0.25">
      <c r="A17" s="4">
        <v>15</v>
      </c>
      <c r="B17" s="1" t="s">
        <v>49</v>
      </c>
      <c r="C17" s="4">
        <v>4500</v>
      </c>
      <c r="D17" s="4">
        <v>14</v>
      </c>
      <c r="E17" s="4">
        <f t="shared" si="0"/>
        <v>63000</v>
      </c>
      <c r="F17" s="1" t="str">
        <f t="shared" si="1"/>
        <v>Средний</v>
      </c>
      <c r="G17" s="1">
        <f t="shared" si="2"/>
        <v>9</v>
      </c>
      <c r="H17" s="1" t="e">
        <f>CORREL(C17,D17)</f>
        <v>#DIV/0!</v>
      </c>
      <c r="I17" s="10">
        <f t="shared" si="3"/>
        <v>3.3366876754409192</v>
      </c>
      <c r="J17" s="9"/>
    </row>
    <row r="22" spans="1:10" x14ac:dyDescent="0.25">
      <c r="C22" s="1" t="s">
        <v>61</v>
      </c>
      <c r="D22" s="4">
        <f>SUM(E3:E17)</f>
        <v>1888100</v>
      </c>
    </row>
    <row r="24" spans="1:10" x14ac:dyDescent="0.25">
      <c r="A24" s="1" t="s">
        <v>50</v>
      </c>
      <c r="B24" s="1" t="s">
        <v>51</v>
      </c>
      <c r="C24" s="1" t="s">
        <v>25</v>
      </c>
      <c r="D24" s="1" t="s">
        <v>26</v>
      </c>
      <c r="E24" s="1" t="s">
        <v>27</v>
      </c>
      <c r="F24" s="1" t="s">
        <v>28</v>
      </c>
      <c r="G24" s="8" t="s">
        <v>52</v>
      </c>
      <c r="H24" s="8" t="s">
        <v>53</v>
      </c>
    </row>
    <row r="25" spans="1:10" x14ac:dyDescent="0.25">
      <c r="A25" s="4">
        <f>SUM(E3:E17)</f>
        <v>1888100</v>
      </c>
      <c r="B25" s="4">
        <f>MAX(E3:E17)</f>
        <v>540000</v>
      </c>
      <c r="C25" s="4">
        <f>MEDIAN(E3:E17)</f>
        <v>70000</v>
      </c>
      <c r="D25" s="1" t="e">
        <f>MODE(E3:E17)</f>
        <v>#N/A</v>
      </c>
      <c r="E25" s="4">
        <f>MIN(E3:E17)</f>
        <v>36000</v>
      </c>
      <c r="F25" s="4">
        <f>MAX(E3:E17)</f>
        <v>540000</v>
      </c>
      <c r="G25" s="3">
        <f>STDEV(E3:E17)</f>
        <v>152155.31757604354</v>
      </c>
      <c r="H25" s="1">
        <f>VAR(E3:E17)</f>
        <v>23151240666.666668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2026-09-30T18:44:44Z</dcterms:modified>
</cp:coreProperties>
</file>