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4" i="2"/>
  <c r="B3" i="2"/>
  <c r="AA7" i="1"/>
  <c r="AA6" i="1"/>
  <c r="AA5" i="1"/>
  <c r="AA4" i="1"/>
  <c r="AA3" i="1"/>
  <c r="AA2" i="1"/>
  <c r="AA1" i="1"/>
  <c r="Z11" i="1"/>
  <c r="Z3" i="1"/>
  <c r="Z4" i="1"/>
  <c r="Z5" i="1"/>
  <c r="Z6" i="1"/>
  <c r="Z7" i="1"/>
  <c r="Z8" i="1"/>
  <c r="Z9" i="1"/>
  <c r="Z2" i="1"/>
  <c r="X3" i="1"/>
  <c r="X4" i="1"/>
  <c r="X5" i="1"/>
  <c r="X6" i="1"/>
  <c r="X7" i="1"/>
  <c r="X8" i="1"/>
  <c r="X9" i="1"/>
  <c r="X2" i="1"/>
  <c r="T8" i="1"/>
  <c r="T7" i="1"/>
  <c r="T6" i="1"/>
  <c r="T5" i="1"/>
  <c r="L4" i="1"/>
  <c r="L5" i="1"/>
  <c r="L6" i="1"/>
  <c r="L7" i="1"/>
  <c r="L8" i="1"/>
  <c r="L9" i="1"/>
  <c r="L10" i="1"/>
  <c r="L3" i="1"/>
  <c r="H4" i="1"/>
  <c r="H5" i="1"/>
  <c r="H6" i="1"/>
  <c r="H7" i="1"/>
  <c r="H8" i="1"/>
  <c r="H9" i="1"/>
  <c r="H3" i="1"/>
  <c r="G5" i="1"/>
  <c r="G6" i="1"/>
  <c r="G7" i="1"/>
  <c r="G8" i="1"/>
  <c r="G9" i="1"/>
  <c r="G4" i="1"/>
  <c r="G3" i="1"/>
  <c r="F4" i="1"/>
  <c r="F5" i="1"/>
  <c r="F6" i="1"/>
  <c r="F7" i="1"/>
  <c r="F8" i="1"/>
  <c r="F9" i="1"/>
  <c r="F3" i="1"/>
</calcChain>
</file>

<file path=xl/sharedStrings.xml><?xml version="1.0" encoding="utf-8"?>
<sst xmlns="http://schemas.openxmlformats.org/spreadsheetml/2006/main" count="16" uniqueCount="16">
  <si>
    <t>Радиус R (мм)</t>
  </si>
  <si>
    <t>Высота h (мм)</t>
  </si>
  <si>
    <t>Масса m (кг)</t>
  </si>
  <si>
    <t>Длина L (мм)</t>
  </si>
  <si>
    <t>Математика</t>
  </si>
  <si>
    <t>№ диаметр</t>
  </si>
  <si>
    <t>Диаметр (мм)</t>
  </si>
  <si>
    <t>Объем (мм 3)</t>
  </si>
  <si>
    <r>
      <rPr>
        <sz val="11"/>
        <color theme="1"/>
        <rFont val="Calibri"/>
        <family val="2"/>
        <charset val="204"/>
      </rPr>
      <t>√</t>
    </r>
    <r>
      <rPr>
        <sz val="11"/>
        <color theme="1"/>
        <rFont val="Calibri"/>
        <family val="2"/>
      </rPr>
      <t>V</t>
    </r>
  </si>
  <si>
    <t>m-3</t>
  </si>
  <si>
    <t xml:space="preserve"> </t>
  </si>
  <si>
    <t>Длина дуги</t>
  </si>
  <si>
    <t>Дуга через РАДИАНЫ</t>
  </si>
  <si>
    <t>Значение</t>
  </si>
  <si>
    <t>Описание</t>
  </si>
  <si>
    <t>Расчет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</si>
</sst>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NumberFormat="1" applyFill="1" applyBorder="1"/>
    <xf numFmtId="0" fontId="0" fillId="0" borderId="3" xfId="0" applyBorder="1"/>
    <xf numFmtId="166" fontId="0" fillId="0" borderId="3" xfId="0" applyNumberFormat="1" applyBorder="1"/>
    <xf numFmtId="0" fontId="0" fillId="0" borderId="0" xfId="0" applyBorder="1"/>
    <xf numFmtId="0" fontId="0" fillId="0" borderId="1" xfId="0" applyFill="1" applyBorder="1"/>
    <xf numFmtId="166" fontId="0" fillId="0" borderId="1" xfId="0" applyNumberFormat="1" applyFill="1" applyBorder="1"/>
    <xf numFmtId="0" fontId="3" fillId="0" borderId="1" xfId="0" applyFont="1" applyBorder="1"/>
    <xf numFmtId="9" fontId="0" fillId="0" borderId="1" xfId="0" applyNumberFormat="1" applyBorder="1"/>
    <xf numFmtId="0" fontId="2" fillId="2" borderId="1" xfId="0" applyFont="1" applyFill="1" applyBorder="1"/>
    <xf numFmtId="0" fontId="2" fillId="2" borderId="0" xfId="0" applyFont="1" applyFill="1"/>
    <xf numFmtId="1" fontId="0" fillId="0" borderId="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X22" sqref="X22"/>
    </sheetView>
  </sheetViews>
  <sheetFormatPr defaultRowHeight="14.5" x14ac:dyDescent="0.35"/>
  <cols>
    <col min="1" max="8" width="15.6328125" customWidth="1"/>
    <col min="24" max="24" width="15.6328125" customWidth="1"/>
    <col min="26" max="26" width="20.6328125" customWidth="1"/>
  </cols>
  <sheetData>
    <row r="1" spans="1:27" x14ac:dyDescent="0.35">
      <c r="A1" s="6" t="s">
        <v>4</v>
      </c>
      <c r="B1" s="7"/>
      <c r="C1" s="7"/>
      <c r="D1" s="7"/>
      <c r="E1" s="7"/>
      <c r="F1" s="7"/>
      <c r="G1" s="7"/>
      <c r="H1" s="7"/>
      <c r="X1" s="16" t="s">
        <v>11</v>
      </c>
      <c r="Y1" s="18">
        <v>60</v>
      </c>
      <c r="Z1" s="17" t="s">
        <v>12</v>
      </c>
      <c r="AA1" s="5">
        <f>SUM(D3:D9)</f>
        <v>21.799999999999997</v>
      </c>
    </row>
    <row r="2" spans="1:27" x14ac:dyDescent="0.35">
      <c r="A2" s="4" t="s">
        <v>5</v>
      </c>
      <c r="B2" s="4" t="s">
        <v>0</v>
      </c>
      <c r="C2" s="4" t="s">
        <v>1</v>
      </c>
      <c r="D2" s="4" t="s">
        <v>2</v>
      </c>
      <c r="E2" s="9" t="s">
        <v>3</v>
      </c>
      <c r="F2" s="12" t="s">
        <v>6</v>
      </c>
      <c r="G2" s="12" t="s">
        <v>7</v>
      </c>
      <c r="H2" s="14" t="s">
        <v>8</v>
      </c>
      <c r="K2" s="9">
        <v>3</v>
      </c>
      <c r="L2" s="4" t="s">
        <v>9</v>
      </c>
      <c r="T2" s="4">
        <v>10000</v>
      </c>
      <c r="X2" s="4">
        <f>PI()*B3*$Y$1/180</f>
        <v>13.089969389957471</v>
      </c>
      <c r="Y2" t="s">
        <v>10</v>
      </c>
      <c r="Z2" s="4">
        <f>B3*RADIANS($Y$1)</f>
        <v>13.089969389957471</v>
      </c>
      <c r="AA2" s="4">
        <f>SUMIF(D3:D9,"&gt;2")</f>
        <v>18.100000000000001</v>
      </c>
    </row>
    <row r="3" spans="1:27" x14ac:dyDescent="0.35">
      <c r="A3" s="4">
        <v>1</v>
      </c>
      <c r="B3" s="5">
        <v>12.5</v>
      </c>
      <c r="C3" s="5">
        <v>30</v>
      </c>
      <c r="D3" s="5">
        <v>2.4</v>
      </c>
      <c r="E3" s="10">
        <v>145</v>
      </c>
      <c r="F3" s="5">
        <f>2*B3</f>
        <v>25</v>
      </c>
      <c r="G3" s="13">
        <f>PI()*POWER(B3,2)*C3</f>
        <v>14726.215563702155</v>
      </c>
      <c r="H3" s="5">
        <f>SQRT(G3)</f>
        <v>121.3516195347312</v>
      </c>
      <c r="K3" s="11"/>
      <c r="L3" s="4">
        <f>ABS(D3-$K$1)</f>
        <v>2.4</v>
      </c>
      <c r="T3" s="15">
        <v>0.12</v>
      </c>
      <c r="X3" s="4">
        <f t="shared" ref="X3:X9" si="0">PI()*B4*$Y$1/180</f>
        <v>8.6917396749317621</v>
      </c>
      <c r="Z3" s="4">
        <f t="shared" ref="Z3:Z9" si="1">B4*RADIANS($Y$1)</f>
        <v>8.6917396749317604</v>
      </c>
      <c r="AA3">
        <f>SUMPRODUCT(D3:D9,E3:E9)/SUM(E3:E9)</f>
        <v>4.0744612928970474</v>
      </c>
    </row>
    <row r="4" spans="1:27" x14ac:dyDescent="0.35">
      <c r="A4" s="4">
        <v>2</v>
      </c>
      <c r="B4" s="5">
        <v>8.3000000000000007</v>
      </c>
      <c r="C4" s="5">
        <v>25</v>
      </c>
      <c r="D4" s="5">
        <v>1.1000000000000001</v>
      </c>
      <c r="E4" s="10">
        <v>98</v>
      </c>
      <c r="F4" s="5">
        <f t="shared" ref="F4:F9" si="2">2*B4</f>
        <v>16.600000000000001</v>
      </c>
      <c r="G4" s="13">
        <f>PI()*B4^2*C3</f>
        <v>6492.7295371740274</v>
      </c>
      <c r="H4" s="5">
        <f t="shared" ref="H4:H9" si="3">SQRT(G4)</f>
        <v>80.577475371061524</v>
      </c>
      <c r="K4" s="11"/>
      <c r="L4" s="4">
        <f t="shared" ref="L4:L10" si="4">ABS(D4-$K$1)</f>
        <v>1.1000000000000001</v>
      </c>
      <c r="T4" s="4">
        <v>5</v>
      </c>
      <c r="X4" s="4">
        <f t="shared" si="0"/>
        <v>16.441001553786581</v>
      </c>
      <c r="Z4" s="4">
        <f t="shared" si="1"/>
        <v>16.441001553786581</v>
      </c>
      <c r="AA4">
        <f>COUNTIF(D3:D9,"&gt;2")</f>
        <v>4</v>
      </c>
    </row>
    <row r="5" spans="1:27" x14ac:dyDescent="0.35">
      <c r="A5" s="4">
        <v>3</v>
      </c>
      <c r="B5" s="5">
        <v>15.7</v>
      </c>
      <c r="C5" s="5">
        <v>40</v>
      </c>
      <c r="D5" s="5">
        <v>4</v>
      </c>
      <c r="E5" s="10">
        <v>210</v>
      </c>
      <c r="F5" s="5">
        <f t="shared" si="2"/>
        <v>31.4</v>
      </c>
      <c r="G5" s="13">
        <f t="shared" ref="G5:G9" si="5">PI()*B5^2*C4</f>
        <v>19359.2793295837</v>
      </c>
      <c r="H5" s="5">
        <f t="shared" si="3"/>
        <v>139.137627296083</v>
      </c>
      <c r="K5" s="11"/>
      <c r="L5" s="4">
        <f t="shared" si="4"/>
        <v>4</v>
      </c>
      <c r="T5" s="2">
        <f>T2*POWER(1+T3,T4)</f>
        <v>17623.416832000006</v>
      </c>
      <c r="X5" s="4">
        <f t="shared" si="0"/>
        <v>6.4926248174189052</v>
      </c>
      <c r="Z5" s="4">
        <f t="shared" si="1"/>
        <v>6.4926248174189052</v>
      </c>
      <c r="AA5" s="3">
        <f>AVERAGE(D3:D9)</f>
        <v>3.1142857142857139</v>
      </c>
    </row>
    <row r="6" spans="1:27" x14ac:dyDescent="0.35">
      <c r="A6" s="4">
        <v>4</v>
      </c>
      <c r="B6" s="5">
        <v>6.2</v>
      </c>
      <c r="C6" s="5">
        <v>18</v>
      </c>
      <c r="D6" s="5">
        <v>0.7</v>
      </c>
      <c r="E6" s="10">
        <v>75</v>
      </c>
      <c r="F6" s="5">
        <f t="shared" si="2"/>
        <v>12.4</v>
      </c>
      <c r="G6" s="13">
        <f t="shared" si="5"/>
        <v>4830.5128641596666</v>
      </c>
      <c r="H6" s="5">
        <f t="shared" si="3"/>
        <v>69.501891083334314</v>
      </c>
      <c r="K6" s="11"/>
      <c r="L6" s="4">
        <f t="shared" si="4"/>
        <v>0.7</v>
      </c>
      <c r="T6" s="2">
        <f>T2*EXP(T3*T4)</f>
        <v>18221.188003905088</v>
      </c>
      <c r="X6" s="4">
        <f t="shared" si="0"/>
        <v>21.048670779051616</v>
      </c>
      <c r="Z6" s="4">
        <f t="shared" si="1"/>
        <v>21.048670779051612</v>
      </c>
      <c r="AA6" s="3">
        <f>MAX(D3:D9)</f>
        <v>6.5</v>
      </c>
    </row>
    <row r="7" spans="1:27" x14ac:dyDescent="0.35">
      <c r="A7" s="4">
        <v>5</v>
      </c>
      <c r="B7" s="5">
        <v>20.100000000000001</v>
      </c>
      <c r="C7" s="5">
        <v>55</v>
      </c>
      <c r="D7" s="5">
        <v>6.5</v>
      </c>
      <c r="E7" s="10">
        <v>320</v>
      </c>
      <c r="F7" s="5">
        <f t="shared" si="2"/>
        <v>40.200000000000003</v>
      </c>
      <c r="G7" s="13">
        <f t="shared" si="5"/>
        <v>22846.227263582623</v>
      </c>
      <c r="H7" s="5">
        <f t="shared" si="3"/>
        <v>151.14968496024935</v>
      </c>
      <c r="K7" s="11"/>
      <c r="L7" s="4">
        <f t="shared" si="4"/>
        <v>6.5</v>
      </c>
      <c r="T7" s="2">
        <f>72/(T3*100)</f>
        <v>6</v>
      </c>
      <c r="X7" s="4">
        <f t="shared" si="0"/>
        <v>10.890854532444616</v>
      </c>
      <c r="Z7" s="4">
        <f t="shared" si="1"/>
        <v>10.890854532444616</v>
      </c>
      <c r="AA7" s="3">
        <f>MIN(D3:D9)</f>
        <v>0.7</v>
      </c>
    </row>
    <row r="8" spans="1:27" x14ac:dyDescent="0.35">
      <c r="A8" s="4">
        <v>6</v>
      </c>
      <c r="B8" s="5">
        <v>10.4</v>
      </c>
      <c r="C8" s="5">
        <v>28</v>
      </c>
      <c r="D8" s="5">
        <v>1.9</v>
      </c>
      <c r="E8" s="10">
        <v>130</v>
      </c>
      <c r="F8" s="5">
        <f t="shared" si="2"/>
        <v>20.8</v>
      </c>
      <c r="G8" s="13">
        <f t="shared" si="5"/>
        <v>18688.706377674964</v>
      </c>
      <c r="H8" s="5">
        <f t="shared" si="3"/>
        <v>136.70664350233665</v>
      </c>
      <c r="K8" s="11"/>
      <c r="L8" s="4">
        <f t="shared" si="4"/>
        <v>1.9</v>
      </c>
      <c r="T8" s="2">
        <f>LN(2)/LN(1+T2)</f>
        <v>7.5256681867805486E-2</v>
      </c>
      <c r="X8" s="4">
        <f t="shared" si="0"/>
        <v>19.792033717615695</v>
      </c>
      <c r="Z8" s="4">
        <f t="shared" si="1"/>
        <v>19.792033717615695</v>
      </c>
    </row>
    <row r="9" spans="1:27" x14ac:dyDescent="0.35">
      <c r="A9" s="4">
        <v>7</v>
      </c>
      <c r="B9" s="5">
        <v>18.899999999999999</v>
      </c>
      <c r="C9" s="5">
        <v>48</v>
      </c>
      <c r="D9" s="5">
        <v>5.2</v>
      </c>
      <c r="E9" s="10">
        <v>275</v>
      </c>
      <c r="F9" s="5">
        <f t="shared" si="2"/>
        <v>37.799999999999997</v>
      </c>
      <c r="G9" s="13">
        <f t="shared" si="5"/>
        <v>31421.832730086677</v>
      </c>
      <c r="H9" s="5">
        <f t="shared" si="3"/>
        <v>177.26204537375358</v>
      </c>
      <c r="K9" s="11"/>
      <c r="L9" s="4">
        <f t="shared" si="4"/>
        <v>5.2</v>
      </c>
      <c r="X9" s="4">
        <f t="shared" si="0"/>
        <v>0</v>
      </c>
      <c r="Z9" s="4">
        <f t="shared" si="1"/>
        <v>0</v>
      </c>
    </row>
    <row r="10" spans="1:27" x14ac:dyDescent="0.35">
      <c r="G10" s="8"/>
      <c r="L10" s="4">
        <f t="shared" si="4"/>
        <v>0</v>
      </c>
    </row>
    <row r="11" spans="1:27" x14ac:dyDescent="0.35">
      <c r="Z11" s="4">
        <f>60*(PI()/3)</f>
        <v>62.831853071795855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1" sqref="B11"/>
    </sheetView>
  </sheetViews>
  <sheetFormatPr defaultRowHeight="14.5" x14ac:dyDescent="0.35"/>
  <cols>
    <col min="1" max="2" width="20.6328125" customWidth="1"/>
  </cols>
  <sheetData>
    <row r="1" spans="1:2" x14ac:dyDescent="0.35">
      <c r="A1" s="1" t="s">
        <v>15</v>
      </c>
      <c r="B1" s="1"/>
    </row>
    <row r="2" spans="1:2" x14ac:dyDescent="0.35">
      <c r="A2" s="9" t="s">
        <v>13</v>
      </c>
      <c r="B2" s="4" t="s">
        <v>14</v>
      </c>
    </row>
    <row r="3" spans="1:2" x14ac:dyDescent="0.35">
      <c r="A3" s="4">
        <v>500000</v>
      </c>
      <c r="B3" s="4">
        <f>A3*EXP(A4*A5)</f>
        <v>858003.43109242932</v>
      </c>
    </row>
    <row r="4" spans="1:2" x14ac:dyDescent="0.35">
      <c r="A4" s="15">
        <v>0.18</v>
      </c>
      <c r="B4" s="4">
        <f>A3*POWER(1+A4,A5)</f>
        <v>821515.99999999988</v>
      </c>
    </row>
    <row r="5" spans="1:2" x14ac:dyDescent="0.35">
      <c r="A5" s="4">
        <v>3</v>
      </c>
      <c r="B5" s="4">
        <f>72/(A4*100)</f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2026-09-23T09:49:59Z</dcterms:modified>
</cp:coreProperties>
</file>